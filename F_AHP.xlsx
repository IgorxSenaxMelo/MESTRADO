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1" sheetId="1" state="visible" r:id="rId3"/>
    <sheet name="E2" sheetId="2" state="visible" r:id="rId4"/>
    <sheet name="E3" sheetId="3" state="visible" r:id="rId5"/>
    <sheet name="e4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K3" authorId="0">
      <text>
        <r>
          <rPr>
            <sz val="10"/>
            <rFont val="Arial"/>
            <family val="2"/>
          </rPr>
          <t xml:space="preserve">Indice de robustez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K3" authorId="0">
      <text>
        <r>
          <rPr>
            <sz val="10"/>
            <rFont val="Arial"/>
            <family val="2"/>
          </rPr>
          <t xml:space="preserve">Indice de robustez
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K3" authorId="0">
      <text>
        <r>
          <rPr>
            <sz val="10"/>
            <rFont val="Arial"/>
            <family val="2"/>
          </rPr>
          <t xml:space="preserve">Indice de robustez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K3" authorId="0">
      <text>
        <r>
          <rPr>
            <sz val="10"/>
            <rFont val="Arial"/>
            <family val="2"/>
            <charset val="1"/>
          </rPr>
          <t xml:space="preserve">Indice de robustez
</t>
        </r>
      </text>
    </comment>
  </commentList>
</comments>
</file>

<file path=xl/sharedStrings.xml><?xml version="1.0" encoding="utf-8"?>
<sst xmlns="http://schemas.openxmlformats.org/spreadsheetml/2006/main" count="96" uniqueCount="28">
  <si>
    <t xml:space="preserve">DEFINIÇÃO</t>
  </si>
  <si>
    <r>
      <rPr>
        <sz val="11"/>
        <color rgb="FF000000"/>
        <rFont val="Calibri"/>
        <family val="0"/>
        <charset val="1"/>
      </rPr>
      <t xml:space="preserve">Grau em que a implementação do requisito contribui para o cumprimento da missão prevista no CONOPS, considerando conjuntamente: (i) o </t>
    </r>
    <r>
      <rPr>
        <b val="true"/>
        <sz val="11"/>
        <color rgb="FF000000"/>
        <rFont val="Calibri"/>
        <family val="0"/>
        <charset val="1"/>
      </rPr>
      <t xml:space="preserve">impacto operacional direto</t>
    </r>
    <r>
      <rPr>
        <sz val="11"/>
        <color rgb="FF000000"/>
        <rFont val="Calibri"/>
        <family val="0"/>
        <charset val="1"/>
      </rPr>
      <t xml:space="preserve">, (ii) o </t>
    </r>
    <r>
      <rPr>
        <b val="true"/>
        <sz val="11"/>
        <color rgb="FF000000"/>
        <rFont val="Calibri"/>
        <family val="0"/>
        <charset val="1"/>
      </rPr>
      <t xml:space="preserve">desempenho</t>
    </r>
    <r>
      <rPr>
        <sz val="11"/>
        <color rgb="FF000000"/>
        <rFont val="Calibri"/>
        <family val="0"/>
        <charset val="1"/>
      </rPr>
      <t xml:space="preserve"> requerido para a execução da missão e (iii) as consequências à </t>
    </r>
    <r>
      <rPr>
        <b val="true"/>
        <sz val="11"/>
        <color rgb="FF000000"/>
        <rFont val="Calibri"/>
        <family val="0"/>
        <charset val="1"/>
      </rPr>
      <t xml:space="preserve">segurança</t>
    </r>
    <r>
      <rPr>
        <sz val="11"/>
        <color rgb="FF000000"/>
        <rFont val="Calibri"/>
        <family val="0"/>
        <charset val="1"/>
      </rPr>
      <t xml:space="preserve"> operacional e funcional decorrentes da sua não implementação.</t>
    </r>
  </si>
  <si>
    <t xml:space="preserve">Esforço financeiro total associado à implementação do requisito</t>
  </si>
  <si>
    <r>
      <rPr>
        <sz val="11"/>
        <color rgb="FF000000"/>
        <rFont val="Calibri"/>
        <family val="0"/>
        <charset val="1"/>
      </rPr>
      <t xml:space="preserve">Grau de incerteza associado à implementação do requisito em função da </t>
    </r>
    <r>
      <rPr>
        <b val="true"/>
        <sz val="11"/>
        <color rgb="FF000000"/>
        <rFont val="Calibri"/>
        <family val="0"/>
        <charset val="1"/>
      </rPr>
      <t xml:space="preserve">maturidade tecnológica nacional</t>
    </r>
    <r>
      <rPr>
        <sz val="11"/>
        <color rgb="FF000000"/>
        <rFont val="Calibri"/>
        <family val="0"/>
        <charset val="1"/>
      </rPr>
      <t xml:space="preserve"> e da c</t>
    </r>
    <r>
      <rPr>
        <b val="true"/>
        <sz val="11"/>
        <color rgb="FF000000"/>
        <rFont val="Calibri"/>
        <family val="0"/>
        <charset val="1"/>
      </rPr>
      <t xml:space="preserve">omplexidade de integração</t>
    </r>
    <r>
      <rPr>
        <sz val="11"/>
        <color rgb="FF000000"/>
        <rFont val="Calibri"/>
        <family val="0"/>
        <charset val="1"/>
      </rPr>
      <t xml:space="preserve"> necessária.</t>
    </r>
  </si>
  <si>
    <t xml:space="preserve">Tempo necessário para implementar o requisito</t>
  </si>
  <si>
    <t xml:space="preserve">Grau de incerteza associado à capacidade institucional de verificá-lo no contexto nacional.</t>
  </si>
  <si>
    <t xml:space="preserve">1- IGUALMENTE
3-MODERADAMENTE
5-FORTE
7-MUITO FORTE
9-EXTREMAMENTE</t>
  </si>
  <si>
    <t xml:space="preserve">SENA MELO</t>
  </si>
  <si>
    <t xml:space="preserve">IMPACTO NA MISSAO</t>
  </si>
  <si>
    <t xml:space="preserve">CUSTO</t>
  </si>
  <si>
    <t xml:space="preserve">RISCO TECNICO</t>
  </si>
  <si>
    <t xml:space="preserve">PRAZO</t>
  </si>
  <si>
    <t xml:space="preserve">RISCO DE VERIFICAÇÃO</t>
  </si>
  <si>
    <t xml:space="preserve">prioridades W</t>
  </si>
  <si>
    <t xml:space="preserve">(D*W) Produto vetorial entre linhas da matriz e auto vetor</t>
  </si>
  <si>
    <t xml:space="preserve">Lâmbida = (D*W)/W</t>
  </si>
  <si>
    <t xml:space="preserve">Lâmbida máximo (média)</t>
  </si>
  <si>
    <t xml:space="preserve">CR = (lambida-n)/((n-1)*RI)</t>
  </si>
  <si>
    <t xml:space="preserve">RI (tabelado)</t>
  </si>
  <si>
    <t xml:space="preserve">RC (razão CR/RI)</t>
  </si>
  <si>
    <t xml:space="preserve">igualmente preferível</t>
  </si>
  <si>
    <t xml:space="preserve">ligeiramente preferível</t>
  </si>
  <si>
    <t xml:space="preserve">fortemente preferível</t>
  </si>
  <si>
    <t xml:space="preserve">extremamente preferível</t>
  </si>
  <si>
    <t xml:space="preserve">CARRILHO</t>
  </si>
  <si>
    <t xml:space="preserve">EIFLER</t>
  </si>
  <si>
    <t xml:space="preserve">FERNANDEZ</t>
  </si>
  <si>
    <t xml:space="preserve">CAPACIDADE NACIONAL de IMPLEMENTAÇÂO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</si>
</sst>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0"/>
      <name val="Arial"/>
      <family val="2"/>
      <charset val="1"/>
    </font>
    <font>
      <sz val="11"/>
      <name val="Cambria"/>
      <family val="0"/>
      <charset val="1"/>
    </font>
    <font>
      <sz val="11"/>
      <color rgb="FFC9211E"/>
      <name val="Calibri"/>
      <family val="0"/>
      <charset val="1"/>
    </font>
    <font>
      <sz val="10"/>
      <name val="Arial"/>
      <family val="2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DDDDDD"/>
        <bgColor rgb="FFFBE4D5"/>
      </patternFill>
    </fill>
    <fill>
      <patternFill patternType="solid">
        <fgColor rgb="FFF2F2F2"/>
        <bgColor rgb="FFFBE4D5"/>
      </patternFill>
    </fill>
    <fill>
      <patternFill patternType="solid">
        <fgColor rgb="FFFBE4D5"/>
        <bgColor rgb="FFF2F2F2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4D5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F5" activeCellId="0" sqref="F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12.28"/>
    <col collapsed="false" customWidth="true" hidden="false" outlineLevel="0" max="4" min="4" style="1" width="17.97"/>
    <col collapsed="false" customWidth="true" hidden="false" outlineLevel="0" max="5" min="5" style="1" width="12.1"/>
    <col collapsed="false" customWidth="true" hidden="false" outlineLevel="0" max="6" min="6" style="1" width="17.16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2" t="n">
        <f aca="false">SUM(G4:G8)</f>
        <v>1</v>
      </c>
      <c r="H2" s="3" t="s">
        <v>6</v>
      </c>
      <c r="I2" s="3"/>
      <c r="J2" s="5"/>
      <c r="K2" s="5"/>
      <c r="L2" s="5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46.95" hidden="false" customHeight="false" outlineLevel="0" collapsed="false">
      <c r="A3" s="7" t="s">
        <v>7</v>
      </c>
      <c r="B3" s="8" t="s">
        <v>8</v>
      </c>
      <c r="C3" s="9" t="s">
        <v>9</v>
      </c>
      <c r="D3" s="10" t="s">
        <v>10</v>
      </c>
      <c r="E3" s="10" t="s">
        <v>11</v>
      </c>
      <c r="F3" s="10" t="s">
        <v>12</v>
      </c>
      <c r="G3" s="11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 t="s">
        <v>19</v>
      </c>
      <c r="P3" s="13"/>
      <c r="Q3" s="14"/>
      <c r="R3" s="5"/>
      <c r="S3" s="5"/>
      <c r="T3" s="5"/>
      <c r="U3" s="5"/>
      <c r="V3" s="5"/>
      <c r="W3" s="5"/>
      <c r="X3" s="5"/>
      <c r="Y3" s="5"/>
    </row>
    <row r="4" customFormat="false" ht="13.8" hidden="false" customHeight="false" outlineLevel="0" collapsed="false">
      <c r="A4" s="15" t="str">
        <f aca="false">B3</f>
        <v>IMPACTO NA MISSAO</v>
      </c>
      <c r="B4" s="16" t="n">
        <v>1</v>
      </c>
      <c r="C4" s="2" t="n">
        <v>7</v>
      </c>
      <c r="D4" s="2" t="n">
        <v>7</v>
      </c>
      <c r="E4" s="2" t="n">
        <v>7</v>
      </c>
      <c r="F4" s="2" t="n">
        <v>9</v>
      </c>
      <c r="G4" s="17" t="n">
        <f aca="false">AVERAGE(B4/SUM($B$4:$B$8),C4/SUM($C$4:$C$8),D4/SUM($D$4:$D$8),F4/SUM($F$4:$F$8),E4/SUM($E$4:$E$8))</f>
        <v>0.631085362224984</v>
      </c>
      <c r="H4" s="17" t="n">
        <f aca="false" t="array" ref="H4:H8">MMULT(B4:F8,$G$4:$G$8)</f>
        <v>3.30211611502984</v>
      </c>
      <c r="I4" s="5" t="n">
        <f aca="false">H4/G4</f>
        <v>5.23243971843642</v>
      </c>
      <c r="J4" s="5" t="n">
        <f aca="false">MAX(I4:I9)</f>
        <v>5.23243971843642</v>
      </c>
      <c r="K4" s="18" t="n">
        <f aca="false">((J4-5)/(5-1)*L4)</f>
        <v>0.0650831211621989</v>
      </c>
      <c r="L4" s="5" t="n">
        <v>1.12</v>
      </c>
      <c r="M4" s="5" t="n">
        <f aca="false">K4/L4</f>
        <v>0.0581099296091061</v>
      </c>
      <c r="P4" s="19" t="s">
        <v>20</v>
      </c>
      <c r="Q4" s="14" t="n">
        <v>1</v>
      </c>
      <c r="R4" s="5"/>
      <c r="S4" s="5"/>
      <c r="T4" s="5"/>
      <c r="U4" s="5"/>
      <c r="V4" s="5"/>
      <c r="W4" s="5"/>
      <c r="X4" s="5"/>
      <c r="Y4" s="5"/>
    </row>
    <row r="5" customFormat="false" ht="13.8" hidden="false" customHeight="false" outlineLevel="0" collapsed="false">
      <c r="A5" s="15" t="str">
        <f aca="false">C3</f>
        <v>CUSTO</v>
      </c>
      <c r="B5" s="20" t="n">
        <f aca="false">1/C4</f>
        <v>0.142857142857143</v>
      </c>
      <c r="C5" s="21" t="n">
        <v>1</v>
      </c>
      <c r="D5" s="20" t="n">
        <v>1</v>
      </c>
      <c r="E5" s="20" t="n">
        <v>1</v>
      </c>
      <c r="F5" s="20" t="n">
        <v>3</v>
      </c>
      <c r="G5" s="17" t="n">
        <f aca="false">AVERAGE(B5/SUM($B$4:$B$8),C5/SUM($C$4:$C$8),D5/SUM($D$4:$D$8),F5/SUM($F$4:$F$8),E5/SUM($E$4:$E$8))</f>
        <v>0.108200164528381</v>
      </c>
      <c r="H5" s="17" t="n">
        <v>0.547697977901188</v>
      </c>
      <c r="I5" s="5" t="n">
        <f aca="false">H5/G5</f>
        <v>5.06189598036633</v>
      </c>
      <c r="J5" s="5"/>
      <c r="K5" s="5"/>
      <c r="L5" s="5"/>
      <c r="M5" s="5"/>
      <c r="P5" s="19" t="s">
        <v>21</v>
      </c>
      <c r="Q5" s="14" t="n">
        <v>2</v>
      </c>
      <c r="R5" s="5"/>
      <c r="S5" s="5"/>
      <c r="T5" s="5"/>
      <c r="U5" s="5"/>
      <c r="V5" s="5"/>
      <c r="W5" s="5"/>
      <c r="X5" s="5"/>
      <c r="Y5" s="5"/>
    </row>
    <row r="6" customFormat="false" ht="13.8" hidden="false" customHeight="false" outlineLevel="0" collapsed="false">
      <c r="A6" s="15" t="str">
        <f aca="false">D3</f>
        <v>RISCO TECNICO</v>
      </c>
      <c r="B6" s="20" t="n">
        <f aca="false">1/D4</f>
        <v>0.142857142857143</v>
      </c>
      <c r="C6" s="20" t="n">
        <f aca="false">1/D5</f>
        <v>1</v>
      </c>
      <c r="D6" s="21" t="n">
        <v>1</v>
      </c>
      <c r="E6" s="20" t="n">
        <v>1</v>
      </c>
      <c r="F6" s="20" t="n">
        <v>3</v>
      </c>
      <c r="G6" s="17" t="n">
        <f aca="false">AVERAGE(B6/SUM($B$4:$B$8),C6/SUM($C$4:$C$8),D6/SUM($D$4:$D$8),F6/SUM($F$4:$F$8),E6/SUM($E$4:$E$8))</f>
        <v>0.108200164528381</v>
      </c>
      <c r="H6" s="17" t="n">
        <v>0.547697977901188</v>
      </c>
      <c r="I6" s="5" t="n">
        <f aca="false">H6/G6</f>
        <v>5.06189598036633</v>
      </c>
      <c r="J6" s="5"/>
      <c r="K6" s="5"/>
      <c r="L6" s="5"/>
      <c r="M6" s="5"/>
      <c r="P6" s="19" t="s">
        <v>22</v>
      </c>
      <c r="Q6" s="14" t="n">
        <v>3</v>
      </c>
      <c r="R6" s="5"/>
      <c r="S6" s="5"/>
      <c r="T6" s="5"/>
      <c r="U6" s="5"/>
      <c r="V6" s="5"/>
      <c r="W6" s="5"/>
      <c r="X6" s="5"/>
      <c r="Y6" s="5"/>
    </row>
    <row r="7" customFormat="false" ht="13.8" hidden="false" customHeight="false" outlineLevel="0" collapsed="false">
      <c r="A7" s="15" t="str">
        <f aca="false">E3</f>
        <v>PRAZO</v>
      </c>
      <c r="B7" s="20" t="n">
        <f aca="false">1/E4</f>
        <v>0.142857142857143</v>
      </c>
      <c r="C7" s="20" t="n">
        <f aca="false">1/E5</f>
        <v>1</v>
      </c>
      <c r="D7" s="20" t="n">
        <f aca="false">1/E6</f>
        <v>1</v>
      </c>
      <c r="E7" s="21" t="n">
        <v>1</v>
      </c>
      <c r="F7" s="20" t="n">
        <v>3</v>
      </c>
      <c r="G7" s="17" t="n">
        <f aca="false">AVERAGE(B7/SUM($B$4:$B$8),C7/SUM($C$4:$C$8),D7/SUM($D$4:$D$8),F7/SUM($F$4:$F$8),E7/SUM($E$4:$E$8))</f>
        <v>0.108200164528381</v>
      </c>
      <c r="H7" s="17" t="n">
        <v>0.547697977901188</v>
      </c>
      <c r="I7" s="5" t="n">
        <f aca="false">H7/G7</f>
        <v>5.06189598036633</v>
      </c>
      <c r="J7" s="5"/>
      <c r="K7" s="5"/>
      <c r="L7" s="5"/>
      <c r="M7" s="5"/>
      <c r="N7" s="5"/>
      <c r="P7" s="19" t="s">
        <v>23</v>
      </c>
      <c r="Q7" s="14" t="n">
        <v>4</v>
      </c>
      <c r="R7" s="5"/>
      <c r="S7" s="5"/>
      <c r="T7" s="5"/>
      <c r="U7" s="5"/>
      <c r="V7" s="5"/>
      <c r="W7" s="5"/>
      <c r="X7" s="5"/>
      <c r="Y7" s="5"/>
    </row>
    <row r="8" customFormat="false" ht="13.8" hidden="false" customHeight="false" outlineLevel="0" collapsed="false">
      <c r="A8" s="15" t="str">
        <f aca="false">F3</f>
        <v>RISCO DE VERIFICAÇÃO</v>
      </c>
      <c r="B8" s="20" t="n">
        <f aca="false">1/F4</f>
        <v>0.111111111111111</v>
      </c>
      <c r="C8" s="20" t="n">
        <f aca="false">1/F5</f>
        <v>0.333333333333333</v>
      </c>
      <c r="D8" s="20" t="n">
        <f aca="false">1/F6</f>
        <v>0.333333333333333</v>
      </c>
      <c r="E8" s="20" t="n">
        <f aca="false">1/F7</f>
        <v>0.333333333333333</v>
      </c>
      <c r="F8" s="21" t="n">
        <v>1</v>
      </c>
      <c r="G8" s="17" t="n">
        <f aca="false">AVERAGE(B8/SUM($B$4:$B$8),C8/SUM($C$4:$C$8),D8/SUM($D$4:$D$8),F8/SUM($F$4:$F$8),E8/SUM($E$4:$E$8))</f>
        <v>0.0443141441898728</v>
      </c>
      <c r="H8" s="17" t="n">
        <v>0.22263490452103</v>
      </c>
      <c r="I8" s="5" t="n">
        <f aca="false">H8/G8</f>
        <v>5.02401453511336</v>
      </c>
      <c r="J8" s="17"/>
      <c r="K8" s="5"/>
      <c r="L8" s="5"/>
      <c r="M8" s="5"/>
      <c r="N8" s="5"/>
      <c r="O8" s="5"/>
      <c r="P8" s="19"/>
      <c r="Q8" s="14"/>
      <c r="R8" s="5"/>
      <c r="S8" s="5"/>
      <c r="T8" s="5"/>
      <c r="U8" s="5"/>
      <c r="V8" s="5"/>
      <c r="W8" s="5"/>
      <c r="X8" s="5"/>
      <c r="Y8" s="5"/>
    </row>
    <row r="9" customFormat="false" ht="12.8" hidden="false" customHeight="false" outlineLevel="0" collapsed="false">
      <c r="G9" s="22" t="n">
        <f aca="false">K4</f>
        <v>0.0650831211621989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9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F12" activeCellId="0" sqref="F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12.28"/>
    <col collapsed="false" customWidth="true" hidden="false" outlineLevel="0" max="4" min="4" style="1" width="17.97"/>
    <col collapsed="false" customWidth="true" hidden="false" outlineLevel="0" max="5" min="5" style="1" width="12.1"/>
    <col collapsed="false" customWidth="true" hidden="false" outlineLevel="0" max="6" min="6" style="1" width="17.16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2" t="n">
        <f aca="false">SUM(G4:G8)</f>
        <v>1</v>
      </c>
      <c r="H2" s="3" t="s">
        <v>6</v>
      </c>
      <c r="I2" s="3"/>
      <c r="J2" s="5"/>
      <c r="K2" s="5"/>
      <c r="L2" s="5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46.95" hidden="false" customHeight="false" outlineLevel="0" collapsed="false">
      <c r="A3" s="7" t="s">
        <v>24</v>
      </c>
      <c r="B3" s="8" t="s">
        <v>8</v>
      </c>
      <c r="C3" s="9" t="s">
        <v>9</v>
      </c>
      <c r="D3" s="10" t="s">
        <v>10</v>
      </c>
      <c r="E3" s="10" t="s">
        <v>11</v>
      </c>
      <c r="F3" s="10" t="s">
        <v>12</v>
      </c>
      <c r="G3" s="11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 t="s">
        <v>19</v>
      </c>
      <c r="P3" s="13"/>
      <c r="Q3" s="14"/>
      <c r="R3" s="5"/>
      <c r="S3" s="5"/>
      <c r="T3" s="5"/>
      <c r="U3" s="5"/>
      <c r="V3" s="5"/>
      <c r="W3" s="5"/>
      <c r="X3" s="5"/>
      <c r="Y3" s="5"/>
    </row>
    <row r="4" customFormat="false" ht="13.8" hidden="false" customHeight="false" outlineLevel="0" collapsed="false">
      <c r="A4" s="15" t="str">
        <f aca="false">B3</f>
        <v>IMPACTO NA MISSAO</v>
      </c>
      <c r="B4" s="16" t="n">
        <v>1</v>
      </c>
      <c r="C4" s="2" t="n">
        <v>3</v>
      </c>
      <c r="D4" s="2" t="n">
        <v>3</v>
      </c>
      <c r="E4" s="2" t="n">
        <v>3</v>
      </c>
      <c r="F4" s="2" t="n">
        <v>3</v>
      </c>
      <c r="G4" s="17" t="n">
        <f aca="false">AVERAGE(B4/SUM($B$4:$B$8),C4/SUM($C$4:$C$8),D4/SUM($D$4:$D$8),F4/SUM($F$4:$F$8),E4/SUM($E$4:$E$8))</f>
        <v>0.428571428571429</v>
      </c>
      <c r="H4" s="17" t="n">
        <f aca="false" t="array" ref="H4:H8">MMULT(B4:F8,$G$4:$G$8)</f>
        <v>2.14285714285714</v>
      </c>
      <c r="I4" s="5" t="n">
        <f aca="false">H4/G4</f>
        <v>5</v>
      </c>
      <c r="J4" s="5" t="n">
        <f aca="false">MAX(I4:I9)</f>
        <v>5</v>
      </c>
      <c r="K4" s="18" t="n">
        <f aca="false">((J4-5)/(5-1)*L4)</f>
        <v>0</v>
      </c>
      <c r="L4" s="5" t="n">
        <v>1.12</v>
      </c>
      <c r="M4" s="5" t="n">
        <f aca="false">K4/L4</f>
        <v>0</v>
      </c>
      <c r="P4" s="19" t="s">
        <v>20</v>
      </c>
      <c r="Q4" s="14" t="n">
        <v>1</v>
      </c>
      <c r="R4" s="5"/>
      <c r="S4" s="5"/>
      <c r="T4" s="5"/>
      <c r="U4" s="5"/>
      <c r="V4" s="5"/>
      <c r="W4" s="5"/>
      <c r="X4" s="5"/>
      <c r="Y4" s="5"/>
    </row>
    <row r="5" customFormat="false" ht="13.8" hidden="false" customHeight="false" outlineLevel="0" collapsed="false">
      <c r="A5" s="15" t="str">
        <f aca="false">C3</f>
        <v>CUSTO</v>
      </c>
      <c r="B5" s="20" t="n">
        <f aca="false">1/C4</f>
        <v>0.333333333333333</v>
      </c>
      <c r="C5" s="21" t="n">
        <v>1</v>
      </c>
      <c r="D5" s="20" t="n">
        <v>1</v>
      </c>
      <c r="E5" s="20" t="n">
        <v>1</v>
      </c>
      <c r="F5" s="20" t="n">
        <v>1</v>
      </c>
      <c r="G5" s="17" t="n">
        <f aca="false">AVERAGE(B5/SUM($B$4:$B$8),C5/SUM($C$4:$C$8),D5/SUM($D$4:$D$8),F5/SUM($F$4:$F$8),E5/SUM($E$4:$E$8))</f>
        <v>0.142857142857143</v>
      </c>
      <c r="H5" s="17" t="n">
        <v>0.714285714285714</v>
      </c>
      <c r="I5" s="5" t="n">
        <f aca="false">H5/G5</f>
        <v>5</v>
      </c>
      <c r="J5" s="5"/>
      <c r="K5" s="5"/>
      <c r="L5" s="5"/>
      <c r="M5" s="5"/>
      <c r="P5" s="19" t="s">
        <v>21</v>
      </c>
      <c r="Q5" s="14" t="n">
        <v>2</v>
      </c>
      <c r="R5" s="5"/>
      <c r="S5" s="5"/>
      <c r="T5" s="5"/>
      <c r="U5" s="5"/>
      <c r="V5" s="5"/>
      <c r="W5" s="5"/>
      <c r="X5" s="5"/>
      <c r="Y5" s="5"/>
    </row>
    <row r="6" customFormat="false" ht="13.8" hidden="false" customHeight="false" outlineLevel="0" collapsed="false">
      <c r="A6" s="15" t="str">
        <f aca="false">D3</f>
        <v>RISCO TECNICO</v>
      </c>
      <c r="B6" s="20" t="n">
        <f aca="false">1/D4</f>
        <v>0.333333333333333</v>
      </c>
      <c r="C6" s="20" t="n">
        <f aca="false">1/D5</f>
        <v>1</v>
      </c>
      <c r="D6" s="21" t="n">
        <v>1</v>
      </c>
      <c r="E6" s="20" t="n">
        <v>1</v>
      </c>
      <c r="F6" s="20" t="n">
        <v>1</v>
      </c>
      <c r="G6" s="17" t="n">
        <f aca="false">AVERAGE(B6/SUM($B$4:$B$8),C6/SUM($C$4:$C$8),D6/SUM($D$4:$D$8),F6/SUM($F$4:$F$8),E6/SUM($E$4:$E$8))</f>
        <v>0.142857142857143</v>
      </c>
      <c r="H6" s="17" t="n">
        <v>0.714285714285714</v>
      </c>
      <c r="I6" s="5" t="n">
        <f aca="false">H6/G6</f>
        <v>5</v>
      </c>
      <c r="J6" s="5"/>
      <c r="K6" s="5"/>
      <c r="L6" s="5"/>
      <c r="M6" s="5"/>
      <c r="P6" s="19" t="s">
        <v>22</v>
      </c>
      <c r="Q6" s="14" t="n">
        <v>3</v>
      </c>
      <c r="R6" s="5"/>
      <c r="S6" s="5"/>
      <c r="T6" s="5"/>
      <c r="U6" s="5"/>
      <c r="V6" s="5"/>
      <c r="W6" s="5"/>
      <c r="X6" s="5"/>
      <c r="Y6" s="5"/>
    </row>
    <row r="7" customFormat="false" ht="13.8" hidden="false" customHeight="false" outlineLevel="0" collapsed="false">
      <c r="A7" s="15" t="str">
        <f aca="false">E3</f>
        <v>PRAZO</v>
      </c>
      <c r="B7" s="20" t="n">
        <f aca="false">1/E4</f>
        <v>0.333333333333333</v>
      </c>
      <c r="C7" s="20" t="n">
        <f aca="false">1/E5</f>
        <v>1</v>
      </c>
      <c r="D7" s="20" t="n">
        <f aca="false">1/E6</f>
        <v>1</v>
      </c>
      <c r="E7" s="21" t="n">
        <v>1</v>
      </c>
      <c r="F7" s="20" t="n">
        <v>1</v>
      </c>
      <c r="G7" s="17" t="n">
        <f aca="false">AVERAGE(B7/SUM($B$4:$B$8),C7/SUM($C$4:$C$8),D7/SUM($D$4:$D$8),F7/SUM($F$4:$F$8),E7/SUM($E$4:$E$8))</f>
        <v>0.142857142857143</v>
      </c>
      <c r="H7" s="17" t="n">
        <v>0.714285714285714</v>
      </c>
      <c r="I7" s="5" t="n">
        <f aca="false">H7/G7</f>
        <v>5</v>
      </c>
      <c r="J7" s="5"/>
      <c r="K7" s="5"/>
      <c r="L7" s="5"/>
      <c r="M7" s="5"/>
      <c r="N7" s="5"/>
      <c r="P7" s="19" t="s">
        <v>23</v>
      </c>
      <c r="Q7" s="14" t="n">
        <v>4</v>
      </c>
      <c r="R7" s="5"/>
      <c r="S7" s="5"/>
      <c r="T7" s="5"/>
      <c r="U7" s="5"/>
      <c r="V7" s="5"/>
      <c r="W7" s="5"/>
      <c r="X7" s="5"/>
      <c r="Y7" s="5"/>
    </row>
    <row r="8" customFormat="false" ht="13.8" hidden="false" customHeight="false" outlineLevel="0" collapsed="false">
      <c r="A8" s="15" t="str">
        <f aca="false">F3</f>
        <v>RISCO DE VERIFICAÇÃO</v>
      </c>
      <c r="B8" s="20" t="n">
        <f aca="false">1/F4</f>
        <v>0.333333333333333</v>
      </c>
      <c r="C8" s="20" t="n">
        <f aca="false">1/F5</f>
        <v>1</v>
      </c>
      <c r="D8" s="20" t="n">
        <f aca="false">1/F6</f>
        <v>1</v>
      </c>
      <c r="E8" s="20" t="n">
        <f aca="false">1/F7</f>
        <v>1</v>
      </c>
      <c r="F8" s="21" t="n">
        <v>1</v>
      </c>
      <c r="G8" s="17" t="n">
        <f aca="false">AVERAGE(B8/SUM($B$4:$B$8),C8/SUM($C$4:$C$8),D8/SUM($D$4:$D$8),F8/SUM($F$4:$F$8),E8/SUM($E$4:$E$8))</f>
        <v>0.142857142857143</v>
      </c>
      <c r="H8" s="17" t="n">
        <v>0.714285714285714</v>
      </c>
      <c r="I8" s="5" t="n">
        <f aca="false">H8/G8</f>
        <v>5</v>
      </c>
      <c r="J8" s="17"/>
      <c r="K8" s="5"/>
      <c r="L8" s="5"/>
      <c r="M8" s="5"/>
      <c r="N8" s="5"/>
      <c r="O8" s="5"/>
      <c r="P8" s="19"/>
      <c r="Q8" s="14"/>
      <c r="R8" s="5"/>
      <c r="S8" s="5"/>
      <c r="T8" s="5"/>
      <c r="U8" s="5"/>
      <c r="V8" s="5"/>
      <c r="W8" s="5"/>
      <c r="X8" s="5"/>
      <c r="Y8" s="5"/>
    </row>
    <row r="9" customFormat="false" ht="12.8" hidden="false" customHeight="false" outlineLevel="0" collapsed="false">
      <c r="G9" s="22" t="n">
        <f aca="false">K4</f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G8" activeCellId="0" sqref="G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12.28"/>
    <col collapsed="false" customWidth="true" hidden="false" outlineLevel="0" max="4" min="4" style="1" width="17.97"/>
    <col collapsed="false" customWidth="true" hidden="false" outlineLevel="0" max="5" min="5" style="1" width="12.1"/>
    <col collapsed="false" customWidth="true" hidden="false" outlineLevel="0" max="6" min="6" style="1" width="17.16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2" t="n">
        <f aca="false">SUM(G4:G8)</f>
        <v>1</v>
      </c>
      <c r="H2" s="3" t="s">
        <v>6</v>
      </c>
      <c r="I2" s="3"/>
      <c r="J2" s="5"/>
      <c r="K2" s="5"/>
      <c r="L2" s="5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46.95" hidden="false" customHeight="false" outlineLevel="0" collapsed="false">
      <c r="A3" s="7" t="s">
        <v>25</v>
      </c>
      <c r="B3" s="8" t="s">
        <v>8</v>
      </c>
      <c r="C3" s="9" t="s">
        <v>9</v>
      </c>
      <c r="D3" s="10" t="s">
        <v>10</v>
      </c>
      <c r="E3" s="10" t="s">
        <v>11</v>
      </c>
      <c r="F3" s="10" t="s">
        <v>12</v>
      </c>
      <c r="G3" s="11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 t="s">
        <v>19</v>
      </c>
      <c r="P3" s="13"/>
      <c r="Q3" s="14"/>
      <c r="R3" s="5"/>
      <c r="S3" s="5"/>
      <c r="T3" s="5"/>
      <c r="U3" s="5"/>
      <c r="V3" s="5"/>
      <c r="W3" s="5"/>
      <c r="X3" s="5"/>
      <c r="Y3" s="5"/>
    </row>
    <row r="4" customFormat="false" ht="13.8" hidden="false" customHeight="false" outlineLevel="0" collapsed="false">
      <c r="A4" s="15" t="str">
        <f aca="false">B3</f>
        <v>IMPACTO NA MISSAO</v>
      </c>
      <c r="B4" s="16" t="n">
        <v>1</v>
      </c>
      <c r="C4" s="2" t="n">
        <v>9</v>
      </c>
      <c r="D4" s="2" t="n">
        <v>7</v>
      </c>
      <c r="E4" s="2" t="n">
        <v>9</v>
      </c>
      <c r="F4" s="2" t="n">
        <v>7</v>
      </c>
      <c r="G4" s="17" t="n">
        <f aca="false">AVERAGE(B4/SUM($B$4:$B$8),C4/SUM($C$4:$C$8),D4/SUM($D$4:$D$8),F4/SUM($F$4:$F$8),E4/SUM($E$4:$E$8))</f>
        <v>0.63391301225406</v>
      </c>
      <c r="H4" s="17" t="n">
        <f aca="false" t="array" ref="H4:H8">MMULT(B4:F8,$G$4:$G$8)</f>
        <v>3.4045471583403</v>
      </c>
      <c r="I4" s="5" t="n">
        <f aca="false">H4/G4</f>
        <v>5.37068508222358</v>
      </c>
      <c r="J4" s="5" t="n">
        <f aca="false">MAX(I4:I9)</f>
        <v>5.37068508222358</v>
      </c>
      <c r="K4" s="18" t="n">
        <f aca="false">((J4-5)/(5-1)*L4)</f>
        <v>0.103791823022603</v>
      </c>
      <c r="L4" s="5" t="n">
        <v>1.12</v>
      </c>
      <c r="M4" s="5" t="n">
        <f aca="false">K4/L4</f>
        <v>0.0926712705558959</v>
      </c>
      <c r="P4" s="19" t="s">
        <v>20</v>
      </c>
      <c r="Q4" s="14" t="n">
        <v>1</v>
      </c>
      <c r="R4" s="5"/>
      <c r="S4" s="5"/>
      <c r="T4" s="5"/>
      <c r="U4" s="5"/>
      <c r="V4" s="5"/>
      <c r="W4" s="5"/>
      <c r="X4" s="5"/>
      <c r="Y4" s="5"/>
    </row>
    <row r="5" customFormat="false" ht="13.8" hidden="false" customHeight="false" outlineLevel="0" collapsed="false">
      <c r="A5" s="15" t="str">
        <f aca="false">C3</f>
        <v>CUSTO</v>
      </c>
      <c r="B5" s="20" t="n">
        <f aca="false">1/C4</f>
        <v>0.111111111111111</v>
      </c>
      <c r="C5" s="21" t="n">
        <v>1</v>
      </c>
      <c r="D5" s="20" t="n">
        <v>0.33</v>
      </c>
      <c r="E5" s="20" t="n">
        <v>1</v>
      </c>
      <c r="F5" s="20" t="n">
        <f aca="false">1/3</f>
        <v>0.333333333333333</v>
      </c>
      <c r="G5" s="17" t="n">
        <f aca="false">AVERAGE(B5/SUM($B$4:$B$8),C5/SUM($C$4:$C$8),D5/SUM($D$4:$D$8),F5/SUM($F$4:$F$8),E5/SUM($E$4:$E$8))</f>
        <v>0.0519718133128363</v>
      </c>
      <c r="H5" s="17" t="n">
        <v>0.26136813527004</v>
      </c>
      <c r="I5" s="5" t="n">
        <f aca="false">H5/G5</f>
        <v>5.02903629120607</v>
      </c>
      <c r="J5" s="5"/>
      <c r="K5" s="5"/>
      <c r="L5" s="5"/>
      <c r="M5" s="5"/>
      <c r="P5" s="19" t="s">
        <v>21</v>
      </c>
      <c r="Q5" s="14" t="n">
        <v>2</v>
      </c>
      <c r="R5" s="5"/>
      <c r="S5" s="5"/>
      <c r="T5" s="5"/>
      <c r="U5" s="5"/>
      <c r="V5" s="5"/>
      <c r="W5" s="5"/>
      <c r="X5" s="5"/>
      <c r="Y5" s="5"/>
    </row>
    <row r="6" customFormat="false" ht="13.8" hidden="false" customHeight="false" outlineLevel="0" collapsed="false">
      <c r="A6" s="15" t="str">
        <f aca="false">D3</f>
        <v>RISCO TECNICO</v>
      </c>
      <c r="B6" s="20" t="n">
        <f aca="false">1/D4</f>
        <v>0.142857142857143</v>
      </c>
      <c r="C6" s="20" t="n">
        <f aca="false">1/D5</f>
        <v>3.03030303030303</v>
      </c>
      <c r="D6" s="21" t="n">
        <v>1</v>
      </c>
      <c r="E6" s="20" t="n">
        <v>3</v>
      </c>
      <c r="F6" s="20" t="n">
        <v>1</v>
      </c>
      <c r="G6" s="17" t="n">
        <f aca="false">AVERAGE(B6/SUM($B$4:$B$8),C6/SUM($C$4:$C$8),D6/SUM($D$4:$D$8),F6/SUM($F$4:$F$8),E6/SUM($E$4:$E$8))</f>
        <v>0.131215121849865</v>
      </c>
      <c r="H6" s="17" t="n">
        <v>0.666246124794902</v>
      </c>
      <c r="I6" s="5" t="n">
        <f aca="false">H6/G6</f>
        <v>5.0775102396903</v>
      </c>
      <c r="J6" s="5"/>
      <c r="K6" s="5"/>
      <c r="L6" s="5"/>
      <c r="M6" s="5"/>
      <c r="P6" s="19" t="s">
        <v>22</v>
      </c>
      <c r="Q6" s="14" t="n">
        <v>3</v>
      </c>
      <c r="R6" s="5"/>
      <c r="S6" s="5"/>
      <c r="T6" s="5"/>
      <c r="U6" s="5"/>
      <c r="V6" s="5"/>
      <c r="W6" s="5"/>
      <c r="X6" s="5"/>
      <c r="Y6" s="5"/>
    </row>
    <row r="7" customFormat="false" ht="13.8" hidden="false" customHeight="false" outlineLevel="0" collapsed="false">
      <c r="A7" s="15" t="str">
        <f aca="false">E3</f>
        <v>PRAZO</v>
      </c>
      <c r="B7" s="20" t="n">
        <f aca="false">1/E4</f>
        <v>0.111111111111111</v>
      </c>
      <c r="C7" s="20" t="n">
        <f aca="false">1/E5</f>
        <v>1</v>
      </c>
      <c r="D7" s="20" t="n">
        <f aca="false">1/E6</f>
        <v>0.333333333333333</v>
      </c>
      <c r="E7" s="21" t="n">
        <v>1</v>
      </c>
      <c r="F7" s="20" t="n">
        <f aca="false">1/3</f>
        <v>0.333333333333333</v>
      </c>
      <c r="G7" s="17" t="n">
        <f aca="false">AVERAGE(B7/SUM($B$4:$B$8),C7/SUM($C$4:$C$8),D7/SUM($D$4:$D$8),F7/SUM($F$4:$F$8),E7/SUM($E$4:$E$8))</f>
        <v>0.0520408026194937</v>
      </c>
      <c r="H7" s="17" t="n">
        <v>0.26180551900954</v>
      </c>
      <c r="I7" s="5" t="n">
        <f aca="false">H7/G7</f>
        <v>5.03077404327871</v>
      </c>
      <c r="J7" s="5"/>
      <c r="K7" s="5"/>
      <c r="L7" s="5"/>
      <c r="M7" s="5"/>
      <c r="N7" s="5"/>
      <c r="P7" s="19" t="s">
        <v>23</v>
      </c>
      <c r="Q7" s="14" t="n">
        <v>4</v>
      </c>
      <c r="R7" s="5"/>
      <c r="S7" s="5"/>
      <c r="T7" s="5"/>
      <c r="U7" s="5"/>
      <c r="V7" s="5"/>
      <c r="W7" s="5"/>
      <c r="X7" s="5"/>
      <c r="Y7" s="5"/>
    </row>
    <row r="8" customFormat="false" ht="13.8" hidden="false" customHeight="false" outlineLevel="0" collapsed="false">
      <c r="A8" s="15" t="str">
        <f aca="false">F3</f>
        <v>RISCO DE VERIFICAÇÃO</v>
      </c>
      <c r="B8" s="20" t="n">
        <f aca="false">1/F4</f>
        <v>0.142857142857143</v>
      </c>
      <c r="C8" s="20" t="n">
        <f aca="false">1/F5</f>
        <v>3</v>
      </c>
      <c r="D8" s="20" t="n">
        <f aca="false">1/F6</f>
        <v>1</v>
      </c>
      <c r="E8" s="20" t="n">
        <f aca="false">1/F7</f>
        <v>3</v>
      </c>
      <c r="F8" s="21" t="n">
        <v>1</v>
      </c>
      <c r="G8" s="17" t="n">
        <f aca="false">AVERAGE(B8/SUM($B$4:$B$8),C8/SUM($C$4:$C$8),D8/SUM($D$4:$D$8),F8/SUM($F$4:$F$8),E8/SUM($E$4:$E$8))</f>
        <v>0.130859249963744</v>
      </c>
      <c r="H8" s="17" t="n">
        <v>0.66467122136118</v>
      </c>
      <c r="I8" s="5" t="n">
        <f aca="false">H8/G8</f>
        <v>5.07928344037836</v>
      </c>
      <c r="J8" s="17"/>
      <c r="K8" s="5"/>
      <c r="L8" s="5"/>
      <c r="M8" s="5"/>
      <c r="N8" s="5"/>
      <c r="O8" s="5"/>
      <c r="P8" s="19"/>
      <c r="Q8" s="14"/>
      <c r="R8" s="5"/>
      <c r="S8" s="5"/>
      <c r="T8" s="5"/>
      <c r="U8" s="5"/>
      <c r="V8" s="5"/>
      <c r="W8" s="5"/>
      <c r="X8" s="5"/>
      <c r="Y8" s="5"/>
    </row>
    <row r="9" customFormat="false" ht="12.8" hidden="false" customHeight="false" outlineLevel="0" collapsed="false">
      <c r="G9" s="22" t="n">
        <f aca="false">K4</f>
        <v>0.103791823022603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9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1" width="23.48"/>
    <col collapsed="false" customWidth="true" hidden="false" outlineLevel="0" max="3" min="3" style="1" width="12.28"/>
    <col collapsed="false" customWidth="true" hidden="false" outlineLevel="0" max="4" min="4" style="1" width="17.97"/>
    <col collapsed="false" customWidth="true" hidden="false" outlineLevel="0" max="5" min="5" style="1" width="12.1"/>
    <col collapsed="false" customWidth="true" hidden="false" outlineLevel="0" max="6" min="6" style="1" width="17.16"/>
    <col collapsed="false" customWidth="true" hidden="false" outlineLevel="0" max="8" min="8" style="1" width="18.34"/>
  </cols>
  <sheetData>
    <row r="2" customFormat="false" ht="178.2" hidden="false" customHeight="true" outlineLevel="0" collapsed="false">
      <c r="A2" s="2" t="s">
        <v>0</v>
      </c>
      <c r="B2" s="3" t="s">
        <v>1</v>
      </c>
      <c r="C2" s="4" t="s">
        <v>2</v>
      </c>
      <c r="D2" s="3" t="s">
        <v>3</v>
      </c>
      <c r="E2" s="3" t="s">
        <v>4</v>
      </c>
      <c r="F2" s="3" t="s">
        <v>5</v>
      </c>
      <c r="G2" s="2" t="n">
        <f aca="false">SUM(G4:G8)</f>
        <v>1</v>
      </c>
      <c r="H2" s="3" t="s">
        <v>6</v>
      </c>
      <c r="I2" s="3"/>
      <c r="J2" s="5"/>
      <c r="K2" s="5"/>
      <c r="L2" s="5"/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customFormat="false" ht="46.95" hidden="false" customHeight="false" outlineLevel="0" collapsed="false">
      <c r="A3" s="23" t="s">
        <v>26</v>
      </c>
      <c r="B3" s="8" t="s">
        <v>8</v>
      </c>
      <c r="C3" s="24" t="s">
        <v>9</v>
      </c>
      <c r="D3" s="25" t="s">
        <v>27</v>
      </c>
      <c r="E3" s="25" t="s">
        <v>11</v>
      </c>
      <c r="F3" s="25" t="s">
        <v>12</v>
      </c>
      <c r="G3" s="11" t="s">
        <v>13</v>
      </c>
      <c r="H3" s="12" t="s">
        <v>14</v>
      </c>
      <c r="I3" s="12" t="s">
        <v>15</v>
      </c>
      <c r="J3" s="12" t="s">
        <v>16</v>
      </c>
      <c r="K3" s="12" t="s">
        <v>17</v>
      </c>
      <c r="L3" s="12" t="s">
        <v>18</v>
      </c>
      <c r="M3" s="12" t="s">
        <v>19</v>
      </c>
      <c r="P3" s="13"/>
      <c r="Q3" s="14"/>
      <c r="R3" s="5"/>
      <c r="S3" s="5"/>
      <c r="T3" s="5"/>
      <c r="U3" s="5"/>
      <c r="V3" s="5"/>
      <c r="W3" s="5"/>
      <c r="X3" s="5"/>
      <c r="Y3" s="5"/>
    </row>
    <row r="4" customFormat="false" ht="13.8" hidden="false" customHeight="false" outlineLevel="0" collapsed="false">
      <c r="A4" s="26" t="str">
        <f aca="false">B3</f>
        <v>IMPACTO NA MISSAO</v>
      </c>
      <c r="B4" s="27" t="n">
        <v>1</v>
      </c>
      <c r="C4" s="28" t="n">
        <v>3</v>
      </c>
      <c r="D4" s="28" t="n">
        <v>1</v>
      </c>
      <c r="E4" s="28" t="n">
        <v>5</v>
      </c>
      <c r="F4" s="28" t="n">
        <f aca="false">1</f>
        <v>1</v>
      </c>
      <c r="G4" s="17" t="n">
        <f aca="false">AVERAGE(B4/SUM($B$4:$B$8),C4/SUM($C$4:$C$8),D4/SUM($D$4:$D$8),F4/SUM($F$4:$F$8),E4/SUM($E$4:$E$8))</f>
        <v>0.284056669146694</v>
      </c>
      <c r="H4" s="17" t="n">
        <f aca="false" t="array" ref="H4:H8">MMULT(B4:F8,$G$4:$G$8)</f>
        <v>1.50151086594466</v>
      </c>
      <c r="I4" s="5" t="n">
        <f aca="false">H4/G4</f>
        <v>5.28595533579688</v>
      </c>
      <c r="J4" s="5" t="n">
        <f aca="false">MAX(I4:I9)</f>
        <v>5.29140159972396</v>
      </c>
      <c r="K4" s="18" t="n">
        <f aca="false">((J4-5)/(5-1)*L4)</f>
        <v>0.081592447922708</v>
      </c>
      <c r="L4" s="5" t="n">
        <v>1.12</v>
      </c>
      <c r="M4" s="5" t="n">
        <f aca="false">K4/L4</f>
        <v>0.0728503999309893</v>
      </c>
      <c r="P4" s="19" t="s">
        <v>20</v>
      </c>
      <c r="Q4" s="14" t="n">
        <v>1</v>
      </c>
      <c r="R4" s="5"/>
      <c r="S4" s="5"/>
      <c r="T4" s="5"/>
      <c r="U4" s="5"/>
      <c r="V4" s="5"/>
      <c r="W4" s="5"/>
      <c r="X4" s="5"/>
      <c r="Y4" s="5"/>
    </row>
    <row r="5" customFormat="false" ht="13.8" hidden="false" customHeight="false" outlineLevel="0" collapsed="false">
      <c r="A5" s="26" t="str">
        <f aca="false">C3</f>
        <v>CUSTO</v>
      </c>
      <c r="B5" s="29" t="n">
        <f aca="false">1/C4</f>
        <v>0.333333333333333</v>
      </c>
      <c r="C5" s="30" t="n">
        <v>1</v>
      </c>
      <c r="D5" s="29" t="n">
        <f aca="false">1/3</f>
        <v>0.333333333333333</v>
      </c>
      <c r="E5" s="29" t="n">
        <v>3</v>
      </c>
      <c r="F5" s="29" t="n">
        <v>1</v>
      </c>
      <c r="G5" s="17" t="n">
        <f aca="false">AVERAGE(B5/SUM($B$4:$B$8),C5/SUM($C$4:$C$8),D5/SUM($D$4:$D$8),F5/SUM($F$4:$F$8),E5/SUM($E$4:$E$8))</f>
        <v>0.140904552147507</v>
      </c>
      <c r="H5" s="17" t="n">
        <v>0.745143743015195</v>
      </c>
      <c r="I5" s="5" t="n">
        <f aca="false">H5/G5</f>
        <v>5.28828722463939</v>
      </c>
      <c r="J5" s="5"/>
      <c r="K5" s="5"/>
      <c r="L5" s="5"/>
      <c r="M5" s="5"/>
      <c r="P5" s="19" t="s">
        <v>21</v>
      </c>
      <c r="Q5" s="14" t="n">
        <v>2</v>
      </c>
      <c r="R5" s="5"/>
      <c r="S5" s="5"/>
      <c r="T5" s="5"/>
      <c r="U5" s="5"/>
      <c r="V5" s="5"/>
      <c r="W5" s="5"/>
      <c r="X5" s="5"/>
      <c r="Y5" s="5"/>
    </row>
    <row r="6" customFormat="false" ht="13.8" hidden="false" customHeight="false" outlineLevel="0" collapsed="false">
      <c r="A6" s="26" t="str">
        <f aca="false">D3</f>
        <v>CAPACIDADE NACIONAL de IMPLEMENTAÇÂO</v>
      </c>
      <c r="B6" s="29" t="n">
        <f aca="false">1/D4</f>
        <v>1</v>
      </c>
      <c r="C6" s="29" t="n">
        <f aca="false">1/D5</f>
        <v>3</v>
      </c>
      <c r="D6" s="30" t="n">
        <v>1</v>
      </c>
      <c r="E6" s="29" t="n">
        <v>3</v>
      </c>
      <c r="F6" s="29" t="n">
        <v>1</v>
      </c>
      <c r="G6" s="17" t="n">
        <f aca="false">AVERAGE(B6/SUM($B$4:$B$8),C6/SUM($C$4:$C$8),D6/SUM($D$4:$D$8),F6/SUM($F$4:$F$8),E6/SUM($E$4:$E$8))</f>
        <v>0.263004037567747</v>
      </c>
      <c r="H6" s="17" t="n">
        <v>1.39165998511984</v>
      </c>
      <c r="I6" s="5" t="n">
        <f aca="false">H6/G6</f>
        <v>5.29140159972396</v>
      </c>
      <c r="J6" s="5"/>
      <c r="K6" s="5"/>
      <c r="L6" s="5"/>
      <c r="M6" s="5"/>
      <c r="P6" s="19" t="s">
        <v>22</v>
      </c>
      <c r="Q6" s="14" t="n">
        <v>3</v>
      </c>
      <c r="R6" s="5"/>
      <c r="S6" s="5"/>
      <c r="T6" s="5"/>
      <c r="U6" s="5"/>
      <c r="V6" s="5"/>
      <c r="W6" s="5"/>
      <c r="X6" s="5"/>
      <c r="Y6" s="5"/>
    </row>
    <row r="7" customFormat="false" ht="13.8" hidden="false" customHeight="false" outlineLevel="0" collapsed="false">
      <c r="A7" s="26" t="str">
        <f aca="false">E3</f>
        <v>PRAZO</v>
      </c>
      <c r="B7" s="29" t="n">
        <f aca="false">1/E4</f>
        <v>0.2</v>
      </c>
      <c r="C7" s="29" t="n">
        <f aca="false">1/E5</f>
        <v>0.333333333333333</v>
      </c>
      <c r="D7" s="29" t="n">
        <f aca="false">1/E6</f>
        <v>0.333333333333333</v>
      </c>
      <c r="E7" s="30" t="n">
        <v>1</v>
      </c>
      <c r="F7" s="29" t="n">
        <f aca="false">1/7</f>
        <v>0.142857142857143</v>
      </c>
      <c r="G7" s="17" t="n">
        <f aca="false">AVERAGE(B7/SUM($B$4:$B$8),C7/SUM($C$4:$C$8),D7/SUM($D$4:$D$8),F7/SUM($F$4:$F$8),E7/SUM($E$4:$E$8))</f>
        <v>0.0549254404124109</v>
      </c>
      <c r="H7" s="17" t="n">
        <v>0.283102870917164</v>
      </c>
      <c r="I7" s="5" t="n">
        <f aca="false">H7/G7</f>
        <v>5.15431226024715</v>
      </c>
      <c r="J7" s="5"/>
      <c r="K7" s="5"/>
      <c r="L7" s="5"/>
      <c r="M7" s="5"/>
      <c r="N7" s="5"/>
      <c r="P7" s="19" t="s">
        <v>23</v>
      </c>
      <c r="Q7" s="14" t="n">
        <v>4</v>
      </c>
      <c r="R7" s="5"/>
      <c r="S7" s="5"/>
      <c r="T7" s="5"/>
      <c r="U7" s="5"/>
      <c r="V7" s="5"/>
      <c r="W7" s="5"/>
      <c r="X7" s="5"/>
      <c r="Y7" s="5"/>
    </row>
    <row r="8" customFormat="false" ht="13.8" hidden="false" customHeight="false" outlineLevel="0" collapsed="false">
      <c r="A8" s="26" t="str">
        <f aca="false">F3</f>
        <v>RISCO DE VERIFICAÇÃO</v>
      </c>
      <c r="B8" s="29" t="n">
        <f aca="false">1/F4</f>
        <v>1</v>
      </c>
      <c r="C8" s="29" t="n">
        <f aca="false">1/F5</f>
        <v>1</v>
      </c>
      <c r="D8" s="29" t="n">
        <f aca="false">1/F6</f>
        <v>1</v>
      </c>
      <c r="E8" s="29" t="n">
        <f aca="false">1/F7</f>
        <v>7</v>
      </c>
      <c r="F8" s="30" t="n">
        <v>1</v>
      </c>
      <c r="G8" s="17" t="n">
        <f aca="false">AVERAGE(B8/SUM($B$4:$B$8),C8/SUM($C$4:$C$8),D8/SUM($D$4:$D$8),F8/SUM($F$4:$F$8),E8/SUM($E$4:$E$8))</f>
        <v>0.257109300725642</v>
      </c>
      <c r="H8" s="17" t="n">
        <v>1.32955264247447</v>
      </c>
      <c r="I8" s="5" t="n">
        <f aca="false">H8/G8</f>
        <v>5.17115731994937</v>
      </c>
      <c r="J8" s="17"/>
      <c r="K8" s="5"/>
      <c r="L8" s="5"/>
      <c r="M8" s="5"/>
      <c r="N8" s="5"/>
      <c r="O8" s="5"/>
      <c r="P8" s="19"/>
      <c r="Q8" s="14"/>
      <c r="R8" s="5"/>
      <c r="S8" s="5"/>
      <c r="T8" s="5"/>
      <c r="U8" s="5"/>
      <c r="V8" s="5"/>
      <c r="W8" s="5"/>
      <c r="X8" s="5"/>
      <c r="Y8" s="5"/>
    </row>
    <row r="9" customFormat="false" ht="12.8" hidden="false" customHeight="false" outlineLevel="0" collapsed="false">
      <c r="G9" s="22" t="n">
        <f aca="false">K4</f>
        <v>0.081592447922708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2886</TotalTime>
  <Application>LibreOffice/7.6.3.2$Windows_X86_64 LibreOffice_project/29d686fea9f6705b262d369fede658f824154cc0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2026-02-09T14:00:29Z</dcterms:created>
  <dc:creator/>
  <dc:description/>
  <dc:language>pt-BR</dc:language>
  <cp:lastModifiedBy/>
  <dcterms:modified xsi:type="dcterms:W3CDTF">2026-06-08T19:50:38Z</dcterms:modified>
  <cp:revision>206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